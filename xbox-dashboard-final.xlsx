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ndi\Downloads\"/>
    </mc:Choice>
  </mc:AlternateContent>
  <xr:revisionPtr revIDLastSave="0" documentId="8_{E284AE3A-E4ED-402C-95C2-3430F792A68D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3" l="1"/>
  <c r="E22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<sst xmlns="http://schemas.openxmlformats.org/spreadsheetml/2006/main" count="2023" uniqueCount="325">
  <si>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</si>
  <si>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</si>
  <si>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</si>
  <si>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</si>
  <si>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</si>
  <si>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</si>
  <si>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</si>
  <si>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</si>
  <si>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</si>
  <si>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</si>
  <si>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</si>
  <si>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</si>
  <si>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</si>
  <si>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</si>
  <si>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</si>
  <si>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</si>
  <si>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</si>
  <si>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</si>
  <si>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</si>
  <si>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</si>
  <si>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</si>
  <si>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</si>
  <si>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</si>
  <si>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</si>
  <si>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</si>
  <si>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</si>
  <si>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</si>
  <si>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</si>
  <si>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</si>
  <si>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</si>
  <si>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</si>
  <si>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</si>
  <si>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</si>
  <si>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</si>
  <si>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</si>
  <si>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</si>
  <si>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</si>
  <si>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</si>
  <si>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</si>
  <si>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</si>
  <si>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</si>
  <si>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</si>
  <si>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</si>
  <si>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</si>
  <si>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</si>
  <si>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</si>
  <si>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</si>
  <si>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</si>
  <si>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</si>
  <si>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</si>
  <si>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</si>
  <si>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</si>
  <si>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</si>
  <si>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</si>
  <si>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</si>
  <si>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</si>
  <si>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</si>
  <si>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</si>
  <si>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</si>
  <si>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</si>
  <si>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</si>
  <si>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</si>
  <si>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</si>
  <si>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</si>
  <si>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</si>
  <si>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</si>
  <si>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</si>
  <si>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</si>
  <si>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</si>
  <si>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</si>
  <si>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</si>
  <si>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</si>
  <si>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</si>
  <si>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</si>
  <si>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</si>
  <si>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</si>
  <si>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</si>
  <si>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</si>
  <si>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</si>
  <si>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</si>
  <si>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</si>
  <si>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</si>
  <si>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</si>
  <si>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</si>
  <si>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</si>
  <si>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</si>
  <si>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</si>
  <si>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</si>
  <si>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</si>
  <si>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</si>
  <si>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</si>
  <si>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</si>
  <si>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</si>
  <si>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</si>
  <si>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</si>
  <si>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</si>
  <si>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</si>
  <si>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</si>
  <si>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</si>
  <si>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</si>
  <si>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</si>
  <si>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</si>
  <si>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</si>
  <si>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</si>
  <si>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</si>
  <si>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</si>
  <si>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</si>
  <si>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</si>
  <si>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</si>
  <si>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</si>
  <si>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</si>
  <si>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</si>
  <si>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</si>
  <si>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</si>
  <si>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</si>
  <si>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</si>
  <si>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</si>
  <si>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</si>
  <si>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</si>
  <si>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</si>
  <si>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</si>
  <si>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</si>
  <si>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</si>
  <si>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</si>
  <si>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</si>
  <si>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</si>
  <si>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</si>
  <si>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</si>
  <si>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</si>
  <si>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</si>
  <si>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</si>
  <si>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</si>
  <si>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</si>
  <si>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</si>
  <si>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</si>
  <si>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</si>
  <si>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</si>
  <si>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</si>
  <si>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</si>
  <si>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</si>
  <si>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</si>
  <si>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</si>
  <si>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</si>
  <si>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</si>
  <si>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</si>
  <si>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</si>
  <si>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</si>
  <si>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</si>
  <si>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</si>
  <si>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</si>
  <si>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</si>
  <si>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</si>
  <si>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</si>
  <si>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</si>
  <si>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</si>
  <si>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</si>
  <si>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</si>
  <si>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</si>
  <si>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</si>
  <si>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</si>
  <si>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</si>
  <si>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</si>
  <si>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</si>
  <si>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</si>
  <si>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</si>
  <si>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</si>
  <si>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</si>
  <si>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</si>
  <si>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</si>
  <si>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</si>
  <si>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</si>
  <si>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</si>
  <si>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</si>
  <si>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</si>
  <si>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</si>
  <si>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</si>
  <si>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</si>
  <si>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</si>
  <si>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</si>
  <si>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</si>
  <si>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</si>
  <si>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</si>
  <si>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</si>
  <si>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</si>
  <si>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</si>
  <si>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</si>
  <si>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</si>
  <si>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</si>
  <si>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</si>
  <si>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</si>
  <si>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</si>
  <si>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</si>
  <si>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</si>
  <si>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</si>
  <si>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</si>
  <si>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</si>
  <si>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</si>
  <si>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</si>
  <si>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</si>
  <si>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</si>
  <si>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</si>
  <si>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</si>
  <si>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</si>
  <si>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</si>
  <si>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</si>
  <si>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</si>
  <si>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</si>
  <si>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</si>
  <si>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</si>
  <si>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</si>
  <si>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</si>
  <si>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</si>
  <si>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</si>
  <si>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</si>
  <si>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</si>
  <si>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</si>
  <si>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</si>
  <si>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</si>
  <si>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</si>
  <si>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</si>
  <si>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</si>
  <si>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</si>
  <si>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</si>
  <si>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</si>
  <si>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</si>
  <si>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</si>
  <si>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</si>
  <si>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</si>
  <si>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</si>
  <si>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</si>
  <si>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</si>
  <si>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</si>
  <si>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</si>
  <si>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</si>
  <si>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</si>
  <si>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</si>
  <si>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</si>
  <si>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</si>
  <si>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</si>
  <si>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</si>
  <si>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</si>
  <si>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</si>
  <si>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</si>
  <si>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</si>
  <si>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</si>
  <si>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</si>
  <si>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</si>
  <si>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</si>
  <si>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</si>
  <si>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</si>
  <si>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</si>
  <si>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</si>
  <si>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</si>
  <si>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</si>
  <si>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</si>
  <si>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</si>
  <si>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</si>
  <si>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</si>
  <si>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</si>
  <si>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</si>
  <si>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</si>
  <si>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</si>
  <si>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</si>
  <si>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</si>
  <si>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</si>
  <si>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</si>
  <si>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</si>
  <si>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</si>
  <si>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</si>
  <si>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</si>
  <si>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</si>
  <si>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</si>
  <si>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</si>
  <si>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</si>
  <si>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</si>
  <si>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</si>
  <si>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</si>
  <si>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</si>
  <si>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</si>
  <si>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</si>
  <si>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</si>
  <si>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</si>
  <si>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</si>
  <si>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</si>
  <si>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</si>
  <si>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</si>
  <si>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</si>
  <si>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</si>
  <si>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</si>
  <si>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</si>
  <si>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</si>
  <si>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</si>
  <si>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</si>
  <si>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</si>
  <si>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</si>
  <si>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</si>
  <si>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</si>
  <si>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</si>
  <si>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</si>
  <si>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</si>
  <si>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</si>
  <si>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</si>
  <si>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</si>
  <si>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</si>
  <si>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</si>
  <si>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</si>
  <si>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</si>
  <si>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</si>
  <si>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</si>
  <si>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</si>
  <si>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</si>
  <si>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</si>
  <si>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</si>
  <si>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</si>
  <si>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</si>
  <si>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</si>
  <si>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Perguntas de negócio respondidas por análise de dado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</si>
  <si>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</si>
  <si>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renovação manual</t>
    </r>
    <r>
      <rPr>
        <sz val="11"/>
        <color theme="1"/>
        <rFont val="Aptos Narrow"/>
        <family val="2"/>
        <scheme val="minor"/>
      </rPr>
      <t>?</t>
    </r>
  </si>
  <si>
    <t>XBOX GAMEPASS SUBSCRIPTION SALES</t>
  </si>
  <si>
    <t>Soma de EA Play Season Pass</t>
  </si>
  <si>
    <r>
      <t xml:space="preserve">Pergunta de Negócio 3 - Qual 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</t>
    </r>
    <r>
      <rPr>
        <sz val="11"/>
        <color theme="1"/>
        <rFont val="Aptos Narrow"/>
        <family val="2"/>
        <scheme val="minor"/>
      </rPr>
      <t>?</t>
    </r>
  </si>
  <si>
    <r>
      <t xml:space="preserve">Pergunta de Negócio 4 - Qual o </t>
    </r>
    <r>
      <rPr>
        <b/>
        <sz val="11"/>
        <color theme="1"/>
        <rFont val="Aptos Narrow"/>
        <family val="2"/>
        <scheme val="minor"/>
      </rPr>
      <t>total de assinaturas</t>
    </r>
    <r>
      <rPr>
        <sz val="11"/>
        <color theme="1"/>
        <rFont val="Aptos Narrow"/>
        <family val="2"/>
        <scheme val="minor"/>
      </rPr>
      <t xml:space="preserve"> do </t>
    </r>
    <r>
      <rPr>
        <b/>
        <sz val="11"/>
        <color theme="1"/>
        <rFont val="Aptos Narrow"/>
        <family val="2"/>
        <scheme val="minor"/>
      </rPr>
      <t>Minecraft Season Pass</t>
    </r>
    <r>
      <rPr>
        <sz val="11"/>
        <color theme="1"/>
        <rFont val="Aptos Narrow"/>
        <family val="2"/>
        <scheme val="minor"/>
      </rPr>
      <t>?</t>
    </r>
  </si>
  <si>
    <t>Soma de Minecraft Season Pass Price</t>
  </si>
  <si>
    <t>Calculation period 01/01/2024 - 31/01/2024 | Update date: 24/01/2026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</si>
</sst>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2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4" fillId="0" borderId="0" xfId="0" applyFont="1"/>
    <xf numFmtId="0" fontId="0" fillId="3" borderId="0" xfId="0" applyFill="1" applyAlignment="1">
      <alignment horizontal="left"/>
    </xf>
    <xf numFmtId="44" fontId="0" fillId="3" borderId="0" xfId="0" applyNumberFormat="1" applyFill="1"/>
    <xf numFmtId="0" fontId="1" fillId="0" borderId="2" xfId="1" applyBorder="1"/>
    <xf numFmtId="0" fontId="0" fillId="3" borderId="0" xfId="0" applyNumberFormat="1" applyFill="1"/>
    <xf numFmtId="0" fontId="0" fillId="8" borderId="0" xfId="0" applyFill="1"/>
    <xf numFmtId="0" fontId="5" fillId="0" borderId="2" xfId="1" applyFont="1" applyBorder="1" applyAlignment="1">
      <alignment horizontal="left" indent="12"/>
    </xf>
    <xf numFmtId="0" fontId="6" fillId="9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84"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ont>
        <b/>
        <i val="0"/>
        <color theme="0"/>
      </font>
      <fill>
        <patternFill patternType="solid">
          <fgColor rgb="FF22C55E"/>
          <bgColor rgb="FF22C45E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45E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fill>
        <patternFill patternType="solid">
          <bgColor rgb="FF9BC848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96B20A14-4185-4646-8143-0093507FF906}">
      <tableStyleElement type="wholeTable" dxfId="165"/>
      <tableStyleElement type="headerRow" dxfId="164"/>
    </tableStyle>
  </tableStyles>
  <colors>
    <mruColors>
      <color rgb="FF22C45E"/>
      <color rgb="FF22C55E"/>
      <color rgb="FF2AE6B1"/>
      <color rgb="FF9BC848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[xbox-dashboard-final.xlsx]C̳álculos!tbl_annual_total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4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808353301124325E-2"/>
          <c:y val="0.19905003194082907"/>
          <c:w val="0.92163606608963011"/>
          <c:h val="0.747961715703651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4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2-44C7-A130-FEE303CC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944463"/>
        <c:axId val="1826945903"/>
      </c:barChart>
      <c:catAx>
        <c:axId val="182694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6945903"/>
        <c:crosses val="autoZero"/>
        <c:auto val="1"/>
        <c:lblAlgn val="ctr"/>
        <c:lblOffset val="100"/>
        <c:noMultiLvlLbl val="0"/>
      </c:catAx>
      <c:valAx>
        <c:axId val="182694590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269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2411716</xdr:colOff>
      <xdr:row>0</xdr:row>
      <xdr:rowOff>21465</xdr:rowOff>
    </xdr:from>
    <xdr:to>
      <xdr:col>3</xdr:col>
      <xdr:colOff>75128</xdr:colOff>
      <xdr:row>4</xdr:row>
      <xdr:rowOff>64394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F0BFB7-E262-4550-ADFB-AC1E080181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30" t="11614" r="71588" b="-11614"/>
        <a:stretch/>
      </xdr:blipFill>
      <xdr:spPr>
        <a:xfrm>
          <a:off x="2411716" y="21465"/>
          <a:ext cx="1248032" cy="1309352"/>
        </a:xfrm>
        <a:prstGeom prst="rect">
          <a:avLst/>
        </a:prstGeom>
      </xdr:spPr>
    </xdr:pic>
    <xdr:clientData/>
  </xdr:twoCellAnchor>
  <xdr:twoCellAnchor editAs="absolute">
    <xdr:from>
      <xdr:col>0</xdr:col>
      <xdr:colOff>53665</xdr:colOff>
      <xdr:row>7</xdr:row>
      <xdr:rowOff>105178</xdr:rowOff>
    </xdr:from>
    <xdr:to>
      <xdr:col>0</xdr:col>
      <xdr:colOff>2575777</xdr:colOff>
      <xdr:row>16</xdr:row>
      <xdr:rowOff>55330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4CC1EB3-5F92-4401-9771-F77B8B4606D5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65" y="1730778"/>
              <a:ext cx="2522112" cy="1863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564762</xdr:colOff>
      <xdr:row>6</xdr:row>
      <xdr:rowOff>51553</xdr:rowOff>
    </xdr:from>
    <xdr:to>
      <xdr:col>10</xdr:col>
      <xdr:colOff>512138</xdr:colOff>
      <xdr:row>15</xdr:row>
      <xdr:rowOff>19449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D8E80F7-AD20-CAAF-6D90-347EBBE108D5}"/>
            </a:ext>
          </a:extLst>
        </xdr:cNvPr>
        <xdr:cNvGrpSpPr/>
      </xdr:nvGrpSpPr>
      <xdr:grpSpPr>
        <a:xfrm>
          <a:off x="3536562" y="1558620"/>
          <a:ext cx="4824176" cy="1813629"/>
          <a:chOff x="2137833" y="1441450"/>
          <a:chExt cx="4855956" cy="177886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3C7F040B-B7F3-B4CE-27F5-8A59D5A38D11}"/>
              </a:ext>
            </a:extLst>
          </xdr:cNvPr>
          <xdr:cNvSpPr/>
        </xdr:nvSpPr>
        <xdr:spPr>
          <a:xfrm>
            <a:off x="2137833" y="1441450"/>
            <a:ext cx="4839759" cy="1766358"/>
          </a:xfrm>
          <a:prstGeom prst="roundRect">
            <a:avLst>
              <a:gd name="adj" fmla="val 537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53B8A3C-4797-4174-B46A-4C1718576225}"/>
              </a:ext>
            </a:extLst>
          </xdr:cNvPr>
          <xdr:cNvSpPr/>
        </xdr:nvSpPr>
        <xdr:spPr>
          <a:xfrm>
            <a:off x="3774431" y="1820564"/>
            <a:ext cx="3219358" cy="1399753"/>
          </a:xfrm>
          <a:prstGeom prst="roundRect">
            <a:avLst>
              <a:gd name="adj" fmla="val 537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D9801BB-F397-4423-B5FB-F31F57CE905C}" type="TxLink">
              <a:rPr lang="en-US" sz="3600" b="0" i="0" u="none" strike="noStrike">
                <a:solidFill>
                  <a:srgbClr val="22C45E"/>
                </a:solidFill>
                <a:latin typeface="Aptos Narrow"/>
              </a:rPr>
              <a:pPr algn="ctr"/>
              <a:t>R$ 990,00</a:t>
            </a:fld>
            <a:endParaRPr lang="pt-BR" sz="3600">
              <a:solidFill>
                <a:srgbClr val="22C4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7A4F368-3AA6-4BB7-A7F7-7C8B7E419B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67515" y="1805035"/>
            <a:ext cx="1358901" cy="1412299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B479C8D3-B749-E56B-1B72-70CC592D3DD4}"/>
              </a:ext>
            </a:extLst>
          </xdr:cNvPr>
          <xdr:cNvSpPr/>
        </xdr:nvSpPr>
        <xdr:spPr>
          <a:xfrm>
            <a:off x="2137833" y="1441694"/>
            <a:ext cx="4844337" cy="46330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EA PLAY SEASON PASS 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14</xdr:col>
      <xdr:colOff>297286</xdr:colOff>
      <xdr:row>6</xdr:row>
      <xdr:rowOff>39917</xdr:rowOff>
    </xdr:from>
    <xdr:to>
      <xdr:col>22</xdr:col>
      <xdr:colOff>248955</xdr:colOff>
      <xdr:row>15</xdr:row>
      <xdr:rowOff>7813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A54E0DDB-001E-D8F4-01E1-69135F860980}"/>
            </a:ext>
          </a:extLst>
        </xdr:cNvPr>
        <xdr:cNvGrpSpPr/>
      </xdr:nvGrpSpPr>
      <xdr:grpSpPr>
        <a:xfrm>
          <a:off x="10423419" y="1546984"/>
          <a:ext cx="4828469" cy="1813629"/>
          <a:chOff x="7517190" y="1419678"/>
          <a:chExt cx="4786408" cy="1787939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E9F6A22C-907B-433D-998E-3C373152CA8E}"/>
              </a:ext>
            </a:extLst>
          </xdr:cNvPr>
          <xdr:cNvGrpSpPr/>
        </xdr:nvGrpSpPr>
        <xdr:grpSpPr>
          <a:xfrm>
            <a:off x="7517190" y="1419678"/>
            <a:ext cx="4786408" cy="1787939"/>
            <a:chOff x="2137833" y="1441450"/>
            <a:chExt cx="4855956" cy="1778867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B345F7A3-61DC-A4C6-2A4E-7300CC43E9D0}"/>
                </a:ext>
              </a:extLst>
            </xdr:cNvPr>
            <xdr:cNvSpPr/>
          </xdr:nvSpPr>
          <xdr:spPr>
            <a:xfrm>
              <a:off x="2137833" y="1441450"/>
              <a:ext cx="4839759" cy="1766358"/>
            </a:xfrm>
            <a:prstGeom prst="roundRect">
              <a:avLst>
                <a:gd name="adj" fmla="val 537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3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44BE783-8AA1-9460-29F8-07136EA4E294}"/>
                </a:ext>
              </a:extLst>
            </xdr:cNvPr>
            <xdr:cNvSpPr/>
          </xdr:nvSpPr>
          <xdr:spPr>
            <a:xfrm>
              <a:off x="3774431" y="1820564"/>
              <a:ext cx="3219358" cy="1399753"/>
            </a:xfrm>
            <a:prstGeom prst="roundRect">
              <a:avLst>
                <a:gd name="adj" fmla="val 537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1469CB1-88BF-402A-A988-56C673967FED}" type="TxLink">
                <a:rPr lang="en-US" sz="3600" b="0" i="0" u="none" strike="noStrike">
                  <a:solidFill>
                    <a:srgbClr val="22C45E"/>
                  </a:solidFill>
                  <a:latin typeface="Aptos Narrow"/>
                </a:rPr>
                <a:t>R$ 1.140,00</a:t>
              </a:fld>
              <a:endParaRPr lang="pt-BR" sz="8800">
                <a:solidFill>
                  <a:srgbClr val="22C4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34618B6F-FDE7-C6BA-113B-79CBB499E559}"/>
                </a:ext>
              </a:extLst>
            </xdr:cNvPr>
            <xdr:cNvSpPr/>
          </xdr:nvSpPr>
          <xdr:spPr>
            <a:xfrm>
              <a:off x="2139612" y="1441450"/>
              <a:ext cx="4839521" cy="4635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MINECRAFT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SEASON PASS 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99873005-1FCD-4B84-95BA-E0CC514C8461}"/>
              </a:ext>
            </a:extLst>
          </xdr:cNvPr>
          <xdr:cNvGrpSpPr/>
        </xdr:nvGrpSpPr>
        <xdr:grpSpPr>
          <a:xfrm>
            <a:off x="7867952" y="2097012"/>
            <a:ext cx="1534357" cy="728044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CB489581-C433-8BB5-AD84-FE6F2564D9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57F25D17-02DF-62C3-3A92-03113FDCAD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576866</xdr:colOff>
      <xdr:row>17</xdr:row>
      <xdr:rowOff>70631</xdr:rowOff>
    </xdr:from>
    <xdr:to>
      <xdr:col>22</xdr:col>
      <xdr:colOff>330200</xdr:colOff>
      <xdr:row>35</xdr:row>
      <xdr:rowOff>105824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80F9F719-4908-2C37-9AF8-5BBF2778200A}"/>
            </a:ext>
          </a:extLst>
        </xdr:cNvPr>
        <xdr:cNvGrpSpPr/>
      </xdr:nvGrpSpPr>
      <xdr:grpSpPr>
        <a:xfrm>
          <a:off x="3548666" y="3795964"/>
          <a:ext cx="11784467" cy="3387993"/>
          <a:chOff x="2166862" y="3485544"/>
          <a:chExt cx="10146090" cy="329988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CF3415E-BB86-4D1A-A6E7-B84B1A3EBC4E}"/>
              </a:ext>
            </a:extLst>
          </xdr:cNvPr>
          <xdr:cNvGrpSpPr/>
        </xdr:nvGrpSpPr>
        <xdr:grpSpPr>
          <a:xfrm>
            <a:off x="2166862" y="3485545"/>
            <a:ext cx="10146090" cy="3299884"/>
            <a:chOff x="1962150" y="1524000"/>
            <a:chExt cx="4886325" cy="28098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A5F6412-6E45-BCD2-352C-55F15E52A098}"/>
                </a:ext>
              </a:extLst>
            </xdr:cNvPr>
            <xdr:cNvSpPr/>
          </xdr:nvSpPr>
          <xdr:spPr>
            <a:xfrm>
              <a:off x="1962150" y="1524000"/>
              <a:ext cx="4886325" cy="2762250"/>
            </a:xfrm>
            <a:prstGeom prst="roundRect">
              <a:avLst>
                <a:gd name="adj" fmla="val 32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397554C-7A90-4DD1-8F68-151123A30990}"/>
                </a:ext>
              </a:extLst>
            </xdr:cNvPr>
            <xdr:cNvGraphicFramePr>
              <a:graphicFrameLocks/>
            </xdr:cNvGraphicFramePr>
          </xdr:nvGraphicFramePr>
          <xdr:xfrm>
            <a:off x="2007877" y="1590675"/>
            <a:ext cx="4805648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236E22B8-8414-4F96-9D74-98912CAF2E4E}"/>
              </a:ext>
            </a:extLst>
          </xdr:cNvPr>
          <xdr:cNvSpPr/>
        </xdr:nvSpPr>
        <xdr:spPr>
          <a:xfrm>
            <a:off x="2166862" y="3485544"/>
            <a:ext cx="10146090" cy="61474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XBOX GAME PASS 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734633</xdr:colOff>
      <xdr:row>1</xdr:row>
      <xdr:rowOff>15265</xdr:rowOff>
    </xdr:from>
    <xdr:to>
      <xdr:col>0</xdr:col>
      <xdr:colOff>1660302</xdr:colOff>
      <xdr:row>2</xdr:row>
      <xdr:rowOff>380167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DB228780-9080-4015-B9C1-1A6ED0808E5B}"/>
            </a:ext>
          </a:extLst>
        </xdr:cNvPr>
        <xdr:cNvSpPr/>
      </xdr:nvSpPr>
      <xdr:spPr>
        <a:xfrm>
          <a:off x="734633" y="201532"/>
          <a:ext cx="925669" cy="86443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85858</xdr:colOff>
      <xdr:row>4</xdr:row>
      <xdr:rowOff>10732</xdr:rowOff>
    </xdr:from>
    <xdr:to>
      <xdr:col>1</xdr:col>
      <xdr:colOff>0</xdr:colOff>
      <xdr:row>7</xdr:row>
      <xdr:rowOff>53663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E2F4C107-F968-EC20-080B-9F9F3ADD1DE9}"/>
            </a:ext>
          </a:extLst>
        </xdr:cNvPr>
        <xdr:cNvSpPr/>
      </xdr:nvSpPr>
      <xdr:spPr>
        <a:xfrm>
          <a:off x="85858" y="1277155"/>
          <a:ext cx="2640170" cy="3863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1"/>
            <a:t>&gt; Bem-vinda, Ingrid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Guedes" refreshedDate="46046.055437152776" createdVersion="8" refreshedVersion="8" minRefreshableVersion="3" recordCount="295" xr:uid="{6A925E3B-CD85-4F12-AE07-D27B72B0653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255486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B8773-62D4-4674-B3B8-A6E893DD8641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formats count="5">
    <format dxfId="154">
      <pivotArea field="4" type="button" dataOnly="0" labelOnly="1" outline="0"/>
    </format>
    <format dxfId="155">
      <pivotArea dataOnly="0" labelOnly="1" outline="0" axis="axisValues" fieldPosition="0"/>
    </format>
    <format dxfId="156">
      <pivotArea grandRow="1" outline="0" collapsedLevelsAreSubtotals="1" fieldPosition="0"/>
    </format>
    <format dxfId="157">
      <pivotArea dataOnly="0" labelOnly="1" grandRow="1" outline="0" fieldPosition="0"/>
    </format>
    <format dxfId="158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C4E60-3B5D-423E-B0FE-B7500F8490DC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5">
    <format dxfId="160">
      <pivotArea field="4" type="button" dataOnly="0" labelOnly="1" outline="0"/>
    </format>
    <format dxfId="161">
      <pivotArea dataOnly="0" labelOnly="1" outline="0" axis="axisValues" fieldPosition="0"/>
    </format>
    <format dxfId="162">
      <pivotArea grandRow="1" outline="0" collapsedLevelsAreSubtotals="1" fieldPosition="0"/>
    </format>
    <format dxfId="163">
      <pivotArea dataOnly="0" labelOnly="1" grandRow="1" outline="0" fieldPosition="0"/>
    </format>
    <format dxfId="159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F9E1A-4568-466F-B79B-4289D95388EA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1" baseItem="0" numFmtId="44"/>
  </dataFields>
  <formats count="4">
    <format dxfId="169">
      <pivotArea field="4" type="button" dataOnly="0" labelOnly="1" outline="0" axis="axisRow" fieldPosition="0"/>
    </format>
    <format dxfId="168">
      <pivotArea dataOnly="0" labelOnly="1" outline="0" axis="axisValues" fieldPosition="0"/>
    </format>
    <format dxfId="167">
      <pivotArea grandRow="1" outline="0" collapsedLevelsAreSubtotals="1" fieldPosition="0"/>
    </format>
    <format dxfId="166">
      <pivotArea dataOnly="0" labelOnly="1" grandRow="1" outline="0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CBC74EF-28FD-4047-A23A-3259552A2B0E}" sourceName="Subscription Type">
  <pivotTables>
    <pivotTable tabId="3" name="tbl_annual_total"/>
    <pivotTable tabId="3" name="tbl_easeasonpass_total"/>
    <pivotTable tabId="3" name="Tabela dinâmica3"/>
  </pivotTables>
  <data>
    <tabular pivotCacheId="22554862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EFF4EA9-A768-4879-8D61-AD2E94094054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2"/>
    <tableColumn id="2" xr3:uid="{53DD39D0-2220-4121-9E9D-4EAA7E151C0F}" name="Name" dataDxfId="181"/>
    <tableColumn id="3" xr3:uid="{4F5FF271-4C57-4BE0-8F2C-F82C8551625C}" name="Plan" dataDxfId="180"/>
    <tableColumn id="4" xr3:uid="{8C17EB93-79B9-4E55-B8F7-BEB82F8253E9}" name="Start Date" dataDxfId="179"/>
    <tableColumn id="5" xr3:uid="{48CEDF9B-1689-482A-A828-5CCE7713264A}" name="Auto Renewal" dataDxfId="178"/>
    <tableColumn id="6" xr3:uid="{78B82374-9AA7-4E38-AE4F-78CDE6C83720}" name="Subscription Price" dataDxfId="177" dataCellStyle="Moeda"/>
    <tableColumn id="7" xr3:uid="{F2433F68-AF33-49D0-B1FB-19A396074EDE}" name="Subscription Type" dataDxfId="176"/>
    <tableColumn id="8" xr3:uid="{FD4D9C95-F6E5-4933-9068-A71FF7DF9343}" name="EA Play Season Pass" dataDxfId="175"/>
    <tableColumn id="13" xr3:uid="{978DD0D2-834E-4CE4-A39B-30976086932F}" name="EA Play Season Pass_x000a_Price" dataDxfId="174" dataCellStyle="Moeda"/>
    <tableColumn id="9" xr3:uid="{6E29F111-C395-4580-9DAD-3407D9E8B1A4}" name="Minecraft Season Pass" dataDxfId="173"/>
    <tableColumn id="10" xr3:uid="{EF544EAA-7F25-4FD5-A10E-8E62804DB9E3}" name="Minecraft Season Pass Price" dataDxfId="172" dataCellStyle="Moeda"/>
    <tableColumn id="11" xr3:uid="{7F6EB64A-1F07-4E48-9F0F-AC7D9DCD26F8}" name="Coupon Value" dataDxfId="171" dataCellStyle="Moeda"/>
    <tableColumn id="12" xr3:uid="{2B04ABC8-DE6F-426E-ADC0-D8AFC68CA58E}" name="Total Value" dataDxfId="17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C19" sqref="C1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G2" zoomScale="90" zoomScaleNormal="90" workbookViewId="0">
      <selection activeCell="C19" sqref="C1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33"/>
  <sheetViews>
    <sheetView showGridLines="0" topLeftCell="A15" workbookViewId="0">
      <selection activeCell="C19" sqref="C19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9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2:3" ht="21" x14ac:dyDescent="0.4">
      <c r="B1" s="17" t="s">
        <v>316</v>
      </c>
    </row>
    <row r="3" spans="2:3" x14ac:dyDescent="0.3">
      <c r="B3" t="s">
        <v>317</v>
      </c>
    </row>
    <row r="4" spans="2:3" x14ac:dyDescent="0.3">
      <c r="B4" t="s">
        <v>318</v>
      </c>
    </row>
    <row r="6" spans="2:3" x14ac:dyDescent="0.3">
      <c r="B6" s="12" t="s">
        <v>16</v>
      </c>
      <c r="C6" t="s">
        <v>27</v>
      </c>
    </row>
    <row r="8" spans="2:3" x14ac:dyDescent="0.3">
      <c r="B8" s="3" t="s">
        <v>313</v>
      </c>
      <c r="C8" s="3" t="s">
        <v>315</v>
      </c>
    </row>
    <row r="9" spans="2:3" x14ac:dyDescent="0.3">
      <c r="B9" s="13" t="s">
        <v>23</v>
      </c>
      <c r="C9" s="16">
        <v>806</v>
      </c>
    </row>
    <row r="10" spans="2:3" x14ac:dyDescent="0.3">
      <c r="B10" s="13" t="s">
        <v>19</v>
      </c>
      <c r="C10" s="16">
        <v>1502</v>
      </c>
    </row>
    <row r="11" spans="2:3" x14ac:dyDescent="0.3">
      <c r="B11" s="18" t="s">
        <v>314</v>
      </c>
      <c r="C11" s="19">
        <v>2308</v>
      </c>
    </row>
    <row r="14" spans="2:3" x14ac:dyDescent="0.3">
      <c r="B14" t="s">
        <v>321</v>
      </c>
    </row>
    <row r="16" spans="2:3" x14ac:dyDescent="0.3">
      <c r="B16" s="12" t="s">
        <v>16</v>
      </c>
      <c r="C16" t="s">
        <v>27</v>
      </c>
    </row>
    <row r="18" spans="2:5" x14ac:dyDescent="0.3">
      <c r="B18" s="22" t="s">
        <v>313</v>
      </c>
      <c r="C18" s="3" t="s">
        <v>320</v>
      </c>
    </row>
    <row r="19" spans="2:5" x14ac:dyDescent="0.3">
      <c r="B19" s="13" t="s">
        <v>22</v>
      </c>
      <c r="C19" s="14">
        <v>0</v>
      </c>
    </row>
    <row r="20" spans="2:5" x14ac:dyDescent="0.3">
      <c r="B20" s="13" t="s">
        <v>26</v>
      </c>
      <c r="C20" s="14">
        <v>0</v>
      </c>
    </row>
    <row r="21" spans="2:5" x14ac:dyDescent="0.3">
      <c r="B21" s="13" t="s">
        <v>18</v>
      </c>
      <c r="C21" s="14">
        <v>990</v>
      </c>
    </row>
    <row r="22" spans="2:5" x14ac:dyDescent="0.3">
      <c r="B22" s="18" t="s">
        <v>314</v>
      </c>
      <c r="C22" s="21">
        <v>990</v>
      </c>
      <c r="E22" s="15">
        <f>GETPIVOTDATA("EA Play Season Pass
Price",$B$18)</f>
        <v>990</v>
      </c>
    </row>
    <row r="25" spans="2:5" x14ac:dyDescent="0.3">
      <c r="B25" t="s">
        <v>322</v>
      </c>
    </row>
    <row r="27" spans="2:5" x14ac:dyDescent="0.3">
      <c r="B27" s="12" t="s">
        <v>16</v>
      </c>
      <c r="C27" t="s">
        <v>27</v>
      </c>
    </row>
    <row r="29" spans="2:5" x14ac:dyDescent="0.3">
      <c r="B29" s="22" t="s">
        <v>313</v>
      </c>
      <c r="C29" s="3" t="s">
        <v>323</v>
      </c>
    </row>
    <row r="30" spans="2:5" x14ac:dyDescent="0.3">
      <c r="B30" s="13" t="s">
        <v>22</v>
      </c>
      <c r="C30" s="14">
        <v>0</v>
      </c>
    </row>
    <row r="31" spans="2:5" x14ac:dyDescent="0.3">
      <c r="B31" s="13" t="s">
        <v>26</v>
      </c>
      <c r="C31" s="14">
        <v>480</v>
      </c>
    </row>
    <row r="32" spans="2:5" x14ac:dyDescent="0.3">
      <c r="B32" s="13" t="s">
        <v>18</v>
      </c>
      <c r="C32" s="14">
        <v>660</v>
      </c>
    </row>
    <row r="33" spans="2:5" x14ac:dyDescent="0.3">
      <c r="B33" s="18" t="s">
        <v>314</v>
      </c>
      <c r="C33" s="21">
        <v>1140</v>
      </c>
      <c r="E33" s="15">
        <f>GETPIVOTDATA("Minecraft Season Pass Price",$B$29)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101"/>
  <sheetViews>
    <sheetView showGridLines="0" showRowColHeaders="0" tabSelected="1" zoomScale="90" zoomScaleNormal="90" workbookViewId="0">
      <selection activeCell="N10" sqref="N10"/>
    </sheetView>
  </sheetViews>
  <sheetFormatPr defaultRowHeight="14.4" x14ac:dyDescent="0.3"/>
  <cols>
    <col min="1" max="1" width="39.77734375" style="4" customWidth="1"/>
    <col min="2" max="2" width="3.5546875" customWidth="1"/>
    <col min="12" max="12" width="6.5546875" customWidth="1"/>
  </cols>
  <sheetData>
    <row r="2" spans="1:16" ht="39" customHeight="1" thickBot="1" x14ac:dyDescent="0.6">
      <c r="C2" s="23" t="s">
        <v>319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39" customHeight="1" thickTop="1" x14ac:dyDescent="0.3"/>
    <row r="4" spans="1:16" s="7" customFormat="1" ht="8.25" customHeight="1" x14ac:dyDescent="0.3">
      <c r="A4" s="4"/>
    </row>
    <row r="5" spans="1:16" s="7" customFormat="1" ht="7.5" customHeight="1" x14ac:dyDescent="0.3">
      <c r="A5" s="4"/>
    </row>
    <row r="6" spans="1:16" s="7" customFormat="1" ht="10.199999999999999" customHeight="1" x14ac:dyDescent="0.3">
      <c r="A6" s="4"/>
      <c r="D6" s="24" t="s">
        <v>324</v>
      </c>
    </row>
    <row r="7" spans="1:16" s="7" customFormat="1" ht="9.6" customHeight="1" x14ac:dyDescent="0.3">
      <c r="A7" s="4"/>
    </row>
    <row r="8" spans="1:16" s="7" customFormat="1" ht="33" customHeight="1" x14ac:dyDescent="0.3">
      <c r="A8" s="4"/>
    </row>
    <row r="9" spans="1:16" s="7" customFormat="1" x14ac:dyDescent="0.3">
      <c r="A9" s="4"/>
    </row>
    <row r="10" spans="1:16" s="7" customFormat="1" x14ac:dyDescent="0.3">
      <c r="A10" s="4"/>
    </row>
    <row r="11" spans="1:16" s="7" customFormat="1" x14ac:dyDescent="0.3">
      <c r="A11" s="4"/>
    </row>
    <row r="12" spans="1:16" s="7" customFormat="1" x14ac:dyDescent="0.3">
      <c r="A12" s="4"/>
    </row>
    <row r="13" spans="1:16" s="7" customFormat="1" x14ac:dyDescent="0.3">
      <c r="A13" s="4"/>
    </row>
    <row r="14" spans="1:16" s="7" customFormat="1" x14ac:dyDescent="0.3">
      <c r="A14" s="4"/>
    </row>
    <row r="15" spans="1:16" s="7" customFormat="1" x14ac:dyDescent="0.3">
      <c r="A15" s="4"/>
    </row>
    <row r="16" spans="1:16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Ingrid Guedes</cp:lastModifiedBy>
  <dcterms:created xsi:type="dcterms:W3CDTF">2024-12-19T13:13:10Z</dcterms:created>
  <dcterms:modified xsi:type="dcterms:W3CDTF">2026-01-24T06:42:59Z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